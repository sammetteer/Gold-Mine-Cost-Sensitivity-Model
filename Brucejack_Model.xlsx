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rtfolio\"/>
    </mc:Choice>
  </mc:AlternateContent>
  <xr:revisionPtr revIDLastSave="0" documentId="13_ncr:1_{F97A2272-9D23-4241-8A92-BF9B6FFFEE09}" xr6:coauthVersionLast="47" xr6:coauthVersionMax="47" xr10:uidLastSave="{00000000-0000-0000-0000-000000000000}"/>
  <bookViews>
    <workbookView xWindow="-108" yWindow="-108" windowWidth="23256" windowHeight="12456" firstSheet="4" activeTab="5" xr2:uid="{65E543F4-D170-4F9D-8E51-BAB08DE3C5C2}"/>
  </bookViews>
  <sheets>
    <sheet name="Inputs" sheetId="1" r:id="rId1"/>
    <sheet name="Production" sheetId="2" r:id="rId2"/>
    <sheet name="Costs_AISC" sheetId="3" r:id="rId3"/>
    <sheet name="CashFlow_NPV" sheetId="4" r:id="rId4"/>
    <sheet name="Sensitivites" sheetId="5" r:id="rId5"/>
    <sheet name="Charts" sheetId="6" r:id="rId6"/>
  </sheets>
  <definedNames>
    <definedName name="_xlchart.v1.0" hidden="1">Charts!$A$1:$A$6</definedName>
    <definedName name="_xlchart.v1.1" hidden="1">Charts!$B$1:$B$6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6" l="1"/>
  <c r="C66" i="6"/>
  <c r="C67" i="6"/>
  <c r="C68" i="6"/>
  <c r="C64" i="6"/>
  <c r="B65" i="6"/>
  <c r="B66" i="6"/>
  <c r="B67" i="6"/>
  <c r="B68" i="6"/>
  <c r="B64" i="6"/>
  <c r="C61" i="6"/>
  <c r="C60" i="6"/>
  <c r="C59" i="6"/>
  <c r="E57" i="6"/>
  <c r="E58" i="6"/>
  <c r="D59" i="6"/>
  <c r="B59" i="6"/>
  <c r="D61" i="6"/>
  <c r="E61" i="6" s="1"/>
  <c r="B61" i="6"/>
  <c r="D60" i="6"/>
  <c r="E60" i="6" s="1"/>
  <c r="B60" i="6"/>
  <c r="B20" i="3"/>
  <c r="G20" i="3"/>
  <c r="D20" i="3"/>
  <c r="E20" i="3"/>
  <c r="F20" i="3"/>
  <c r="D3" i="3"/>
  <c r="D4" i="3"/>
  <c r="D5" i="3"/>
  <c r="D6" i="3"/>
  <c r="D7" i="3"/>
  <c r="D8" i="3"/>
  <c r="D9" i="3"/>
  <c r="D10" i="3"/>
  <c r="D11" i="3"/>
  <c r="D2" i="3"/>
  <c r="B21" i="1"/>
  <c r="C2" i="2" s="1"/>
  <c r="E2" i="2" s="1"/>
  <c r="G2" i="3"/>
  <c r="F2" i="3"/>
  <c r="G3" i="3"/>
  <c r="G4" i="3"/>
  <c r="G5" i="3"/>
  <c r="G6" i="3"/>
  <c r="G7" i="3"/>
  <c r="G8" i="3"/>
  <c r="G9" i="3"/>
  <c r="G10" i="3"/>
  <c r="G11" i="3"/>
  <c r="F3" i="3"/>
  <c r="F4" i="3"/>
  <c r="F5" i="3"/>
  <c r="F6" i="3"/>
  <c r="F7" i="3"/>
  <c r="F8" i="3"/>
  <c r="F9" i="3"/>
  <c r="F10" i="3"/>
  <c r="F11" i="3"/>
  <c r="E3" i="3"/>
  <c r="E4" i="3"/>
  <c r="E5" i="3"/>
  <c r="E6" i="3"/>
  <c r="E7" i="3"/>
  <c r="E8" i="3"/>
  <c r="E9" i="3"/>
  <c r="E10" i="3"/>
  <c r="E11" i="3"/>
  <c r="E2" i="3"/>
  <c r="B2" i="3"/>
  <c r="B3" i="2"/>
  <c r="B3" i="3" s="1"/>
  <c r="B4" i="2"/>
  <c r="B5" i="2"/>
  <c r="B6" i="2"/>
  <c r="B6" i="3" s="1"/>
  <c r="B7" i="2"/>
  <c r="B8" i="2"/>
  <c r="B9" i="2"/>
  <c r="B9" i="3" s="1"/>
  <c r="B10" i="2"/>
  <c r="B11" i="2"/>
  <c r="B2" i="2"/>
  <c r="F3" i="4"/>
  <c r="F4" i="4"/>
  <c r="F5" i="4"/>
  <c r="F6" i="4"/>
  <c r="F7" i="4"/>
  <c r="F8" i="4"/>
  <c r="F9" i="4"/>
  <c r="F10" i="4"/>
  <c r="F11" i="4"/>
  <c r="F2" i="4"/>
  <c r="D11" i="4"/>
  <c r="A3" i="4"/>
  <c r="A4" i="4"/>
  <c r="A5" i="4"/>
  <c r="A6" i="4"/>
  <c r="A7" i="4"/>
  <c r="A8" i="4"/>
  <c r="A9" i="4"/>
  <c r="A10" i="4"/>
  <c r="A11" i="4"/>
  <c r="A2" i="4"/>
  <c r="A3" i="3"/>
  <c r="A4" i="3"/>
  <c r="A5" i="3"/>
  <c r="A6" i="3"/>
  <c r="A7" i="3"/>
  <c r="A8" i="3"/>
  <c r="A9" i="3"/>
  <c r="A10" i="3"/>
  <c r="A11" i="3"/>
  <c r="A2" i="3"/>
  <c r="D3" i="2"/>
  <c r="D4" i="2"/>
  <c r="D5" i="2"/>
  <c r="D6" i="2"/>
  <c r="D7" i="2"/>
  <c r="D8" i="2"/>
  <c r="D9" i="2"/>
  <c r="D10" i="2"/>
  <c r="D11" i="2"/>
  <c r="D2" i="2"/>
  <c r="B4" i="3"/>
  <c r="B7" i="3"/>
  <c r="B10" i="3"/>
  <c r="B11" i="3"/>
  <c r="E59" i="6" l="1"/>
  <c r="C3" i="2"/>
  <c r="C9" i="2"/>
  <c r="C6" i="2"/>
  <c r="C5" i="2"/>
  <c r="C4" i="2"/>
  <c r="C11" i="2"/>
  <c r="C10" i="2"/>
  <c r="C7" i="2"/>
  <c r="C8" i="2"/>
  <c r="B8" i="3"/>
  <c r="B5" i="3"/>
  <c r="E7" i="2" l="1"/>
  <c r="C7" i="3" s="1"/>
  <c r="H7" i="3" s="1"/>
  <c r="I7" i="3" s="1"/>
  <c r="E9" i="2"/>
  <c r="C9" i="3" s="1"/>
  <c r="H9" i="3" s="1"/>
  <c r="I9" i="3" s="1"/>
  <c r="E8" i="2"/>
  <c r="C8" i="3" s="1"/>
  <c r="H8" i="3" s="1"/>
  <c r="I8" i="3" s="1"/>
  <c r="E6" i="2"/>
  <c r="C6" i="3" s="1"/>
  <c r="H6" i="3" s="1"/>
  <c r="I6" i="3" s="1"/>
  <c r="E5" i="2"/>
  <c r="C5" i="3" s="1"/>
  <c r="H5" i="3" s="1"/>
  <c r="I5" i="3" s="1"/>
  <c r="E4" i="2"/>
  <c r="C4" i="3" s="1"/>
  <c r="H4" i="3" s="1"/>
  <c r="I4" i="3" s="1"/>
  <c r="E11" i="2"/>
  <c r="C11" i="3" s="1"/>
  <c r="H11" i="3" s="1"/>
  <c r="I11" i="3" s="1"/>
  <c r="E3" i="2"/>
  <c r="C3" i="3" s="1"/>
  <c r="H3" i="3" s="1"/>
  <c r="I3" i="3" s="1"/>
  <c r="E10" i="2"/>
  <c r="C10" i="3" s="1"/>
  <c r="H10" i="3" s="1"/>
  <c r="I10" i="3" s="1"/>
  <c r="C2" i="3"/>
  <c r="B14" i="3" l="1"/>
  <c r="C20" i="3"/>
  <c r="H2" i="3"/>
  <c r="B9" i="4"/>
  <c r="J9" i="3"/>
  <c r="J8" i="3"/>
  <c r="B8" i="4"/>
  <c r="B11" i="4"/>
  <c r="J11" i="3"/>
  <c r="J5" i="3"/>
  <c r="B5" i="4"/>
  <c r="B3" i="4"/>
  <c r="J3" i="3"/>
  <c r="B4" i="4"/>
  <c r="J4" i="3"/>
  <c r="J7" i="3"/>
  <c r="B7" i="4"/>
  <c r="J10" i="3"/>
  <c r="B10" i="4"/>
  <c r="J6" i="3"/>
  <c r="B6" i="4"/>
  <c r="B2" i="6" l="1"/>
  <c r="B1" i="6"/>
  <c r="B3" i="6"/>
  <c r="B4" i="6"/>
  <c r="I2" i="3"/>
  <c r="I20" i="3" s="1"/>
  <c r="B5" i="6" s="1"/>
  <c r="H20" i="3"/>
  <c r="C10" i="4"/>
  <c r="E10" i="4" s="1"/>
  <c r="G10" i="4" s="1"/>
  <c r="K10" i="3"/>
  <c r="K9" i="3"/>
  <c r="C9" i="4"/>
  <c r="E9" i="4" s="1"/>
  <c r="G9" i="4" s="1"/>
  <c r="B2" i="4"/>
  <c r="K5" i="3"/>
  <c r="C5" i="4"/>
  <c r="E5" i="4" s="1"/>
  <c r="G5" i="4" s="1"/>
  <c r="C11" i="4"/>
  <c r="E11" i="4" s="1"/>
  <c r="G11" i="4" s="1"/>
  <c r="K11" i="3"/>
  <c r="K7" i="3"/>
  <c r="C7" i="4"/>
  <c r="E7" i="4" s="1"/>
  <c r="G7" i="4" s="1"/>
  <c r="K3" i="3"/>
  <c r="C3" i="4"/>
  <c r="E3" i="4" s="1"/>
  <c r="G3" i="4" s="1"/>
  <c r="K4" i="3"/>
  <c r="C4" i="4"/>
  <c r="E4" i="4" s="1"/>
  <c r="G4" i="4" s="1"/>
  <c r="C6" i="4"/>
  <c r="E6" i="4" s="1"/>
  <c r="G6" i="4" s="1"/>
  <c r="K6" i="3"/>
  <c r="K8" i="3"/>
  <c r="C8" i="4"/>
  <c r="E8" i="4" s="1"/>
  <c r="G8" i="4" s="1"/>
  <c r="J2" i="3" l="1"/>
  <c r="J20" i="3" s="1"/>
  <c r="B13" i="3" l="1"/>
  <c r="B15" i="3" s="1"/>
  <c r="B6" i="6" s="1"/>
  <c r="C2" i="4"/>
  <c r="E2" i="4" s="1"/>
  <c r="G2" i="4" s="1"/>
  <c r="B13" i="4" s="1"/>
  <c r="K2" i="3"/>
</calcChain>
</file>

<file path=xl/sharedStrings.xml><?xml version="1.0" encoding="utf-8"?>
<sst xmlns="http://schemas.openxmlformats.org/spreadsheetml/2006/main" count="95" uniqueCount="67">
  <si>
    <t>Parameter</t>
  </si>
  <si>
    <t>Value</t>
  </si>
  <si>
    <t>Unit</t>
  </si>
  <si>
    <t>Ore throughput (tpd)</t>
  </si>
  <si>
    <t>Days per year</t>
  </si>
  <si>
    <t>Grade</t>
  </si>
  <si>
    <t>Recovery</t>
  </si>
  <si>
    <t>Mine Life</t>
  </si>
  <si>
    <t>Gold price</t>
  </si>
  <si>
    <t>FX rate (USD/CAD)</t>
  </si>
  <si>
    <t>Mining cost</t>
  </si>
  <si>
    <t>Processing Cost</t>
  </si>
  <si>
    <t>G&amp;A</t>
  </si>
  <si>
    <t>Sustaining capital</t>
  </si>
  <si>
    <t>Closure cost</t>
  </si>
  <si>
    <t>Royalty rate</t>
  </si>
  <si>
    <t>Discount rate</t>
  </si>
  <si>
    <t>t/day</t>
  </si>
  <si>
    <t>days</t>
  </si>
  <si>
    <t>g/t</t>
  </si>
  <si>
    <t>fraction</t>
  </si>
  <si>
    <t>years</t>
  </si>
  <si>
    <t>USD/oz</t>
  </si>
  <si>
    <t>USD/CAD</t>
  </si>
  <si>
    <t>CAD/t ore</t>
  </si>
  <si>
    <t>CAD/year</t>
  </si>
  <si>
    <t>CAD (lump sum)</t>
  </si>
  <si>
    <t>fraction of revenue</t>
  </si>
  <si>
    <t>Year</t>
  </si>
  <si>
    <t>Ore tonnes</t>
  </si>
  <si>
    <t>Grade (g/t)</t>
  </si>
  <si>
    <t>Gold ounces</t>
  </si>
  <si>
    <t>Mining cost (CAD)</t>
  </si>
  <si>
    <t>Processing cost (CAD)</t>
  </si>
  <si>
    <t>G&amp;A (CAD)</t>
  </si>
  <si>
    <t>Sustaining capital (CAD)</t>
  </si>
  <si>
    <t>Revenue (CAD)</t>
  </si>
  <si>
    <t>Royalty (CAD)</t>
  </si>
  <si>
    <t>Total site cost (CAD)</t>
  </si>
  <si>
    <t>AISC (CAD/oz)</t>
  </si>
  <si>
    <t>Total Cost (CAD)</t>
  </si>
  <si>
    <t>Total ounces</t>
  </si>
  <si>
    <t>LOM AISC (CAD/oz)</t>
  </si>
  <si>
    <t>Revenue</t>
  </si>
  <si>
    <t>Closure cost (CAD)</t>
  </si>
  <si>
    <t>Cash flow (CAD)</t>
  </si>
  <si>
    <t>Discount factor</t>
  </si>
  <si>
    <t>Discounted CF (CAD)</t>
  </si>
  <si>
    <t>NPV (CAD)</t>
  </si>
  <si>
    <t>Variable</t>
  </si>
  <si>
    <t>Grade multiplier</t>
  </si>
  <si>
    <t>Effective Grade (g/t)</t>
  </si>
  <si>
    <t>Multiplier</t>
  </si>
  <si>
    <t>NPV</t>
  </si>
  <si>
    <t>LOM total</t>
  </si>
  <si>
    <t>Mining</t>
  </si>
  <si>
    <t>Processing</t>
  </si>
  <si>
    <t>Royalty</t>
  </si>
  <si>
    <t>AISC</t>
  </si>
  <si>
    <t>Gold Price</t>
  </si>
  <si>
    <t>Low Case NPV</t>
  </si>
  <si>
    <t>High Case NPV</t>
  </si>
  <si>
    <t>Impact</t>
  </si>
  <si>
    <t>Processing cost</t>
  </si>
  <si>
    <t>Low ΔNPV</t>
  </si>
  <si>
    <t>High ΔNPV</t>
  </si>
  <si>
    <t>Base Case 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</si>
</sst>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43" fontId="0" fillId="0" borderId="0" xfId="1" applyFont="1"/>
    <xf numFmtId="164" fontId="0" fillId="0" borderId="0" xfId="1" applyNumberFormat="1" applyFont="1"/>
    <xf numFmtId="44" fontId="0" fillId="0" borderId="0" xfId="2" applyFont="1"/>
    <xf numFmtId="44" fontId="0" fillId="0" borderId="0" xfId="0" applyNumberFormat="1"/>
    <xf numFmtId="43" fontId="0" fillId="0" borderId="0" xfId="0" applyNumberFormat="1"/>
    <xf numFmtId="16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vs Gold Price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Charts!$B$19</c:f>
              <c:strCache>
                <c:ptCount val="1"/>
                <c:pt idx="0">
                  <c:v>NPV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Charts!$A$20:$A$24</c:f>
              <c:numCache>
                <c:formatCode>_("$"* #,##0.00_);_("$"* \(#,##0.00\);_("$"* "-"??_);_(@_)</c:formatCode>
                <c:ptCount val="5"/>
                <c:pt idx="0">
                  <c:v>3500</c:v>
                </c:pt>
                <c:pt idx="1">
                  <c:v>4000</c:v>
                </c:pt>
                <c:pt idx="2">
                  <c:v>4500</c:v>
                </c:pt>
                <c:pt idx="3">
                  <c:v>5000</c:v>
                </c:pt>
                <c:pt idx="4">
                  <c:v>5500</c:v>
                </c:pt>
              </c:numCache>
            </c:numRef>
          </c:cat>
          <c:val>
            <c:numRef>
              <c:f>Charts!$B$20:$B$24</c:f>
              <c:numCache>
                <c:formatCode>_("$"* #,##0.00_);_("$"* \(#,##0.00\);_("$"* "-"??_);_(@_)</c:formatCode>
                <c:ptCount val="5"/>
                <c:pt idx="0">
                  <c:v>5801954502.7411842</c:v>
                </c:pt>
                <c:pt idx="1">
                  <c:v>7016770954.6336527</c:v>
                </c:pt>
                <c:pt idx="2">
                  <c:v>8231587406.5261259</c:v>
                </c:pt>
                <c:pt idx="3">
                  <c:v>9446403858.4185963</c:v>
                </c:pt>
                <c:pt idx="4">
                  <c:v>10661220310.311069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A-4ABC-AE1A-E2580BF11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129727"/>
        <c:axId val="1524127327"/>
      </c:lineChart>
      <c:catAx>
        <c:axId val="1524129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Gold</a:t>
                </a:r>
                <a:r>
                  <a:rPr lang="en-CA" baseline="0"/>
                  <a:t> Price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27327"/>
        <c:crosses val="autoZero"/>
        <c:auto val="1"/>
        <c:lblAlgn val="ctr"/>
        <c:lblOffset val="100"/>
        <c:noMultiLvlLbl val="0"/>
      </c:catAx>
      <c:valAx>
        <c:axId val="1524127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NPV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2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5080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NPV sensitivity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Charts!$B$63</c:f>
              <c:strCache>
                <c:ptCount val="1"/>
                <c:pt idx="0">
                  <c:v>Low ΔNPV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Charts!$A$64:$A$68</c:f>
              <c:strCache>
                <c:ptCount val="5"/>
                <c:pt idx="0">
                  <c:v>Gold price</c:v>
                </c:pt>
                <c:pt idx="1">
                  <c:v>Grade</c:v>
                </c:pt>
                <c:pt idx="2">
                  <c:v>Sustaining capital</c:v>
                </c:pt>
                <c:pt idx="3">
                  <c:v>Mining cost</c:v>
                </c:pt>
                <c:pt idx="4">
                  <c:v>Processing cost</c:v>
                </c:pt>
              </c:strCache>
            </c:strRef>
          </c:cat>
          <c:val>
            <c:numRef>
              <c:f>Charts!$B$64:$B$68</c:f>
              <c:numCache>
                <c:formatCode>_("$"* #,##0.00_);_("$"* \(#,##0.00\);_("$"* "-"??_);_(@_)</c:formatCode>
                <c:ptCount val="5"/>
                <c:pt idx="0">
                  <c:v>-2429632903.7849417</c:v>
                </c:pt>
                <c:pt idx="1">
                  <c:v>-2186669613.4064484</c:v>
                </c:pt>
                <c:pt idx="2">
                  <c:v>-16000000</c:v>
                </c:pt>
                <c:pt idx="3">
                  <c:v>-15257000</c:v>
                </c:pt>
                <c:pt idx="4">
                  <c:v>-7628500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B-40A5-B52C-A925D6CAA461}"/>
            </c:ext>
          </c:extLst>
        </c:ser>
        <c:ser>
          <c:idx val="1"/>
          <c:order val="1"/>
          <c:tx>
            <c:strRef>
              <c:f>Charts!$C$63</c:f>
              <c:strCache>
                <c:ptCount val="1"/>
                <c:pt idx="0">
                  <c:v>High ΔNPV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Charts!$A$64:$A$68</c:f>
              <c:strCache>
                <c:ptCount val="5"/>
                <c:pt idx="0">
                  <c:v>Gold price</c:v>
                </c:pt>
                <c:pt idx="1">
                  <c:v>Grade</c:v>
                </c:pt>
                <c:pt idx="2">
                  <c:v>Sustaining capital</c:v>
                </c:pt>
                <c:pt idx="3">
                  <c:v>Mining cost</c:v>
                </c:pt>
                <c:pt idx="4">
                  <c:v>Processing cost</c:v>
                </c:pt>
              </c:strCache>
            </c:strRef>
          </c:cat>
          <c:val>
            <c:numRef>
              <c:f>Charts!$C$64:$C$68</c:f>
              <c:numCache>
                <c:formatCode>_("$"* #,##0.00_);_("$"* \(#,##0.00\);_("$"* "-"??_);_(@_)</c:formatCode>
                <c:ptCount val="5"/>
                <c:pt idx="0">
                  <c:v>2429632903.7849436</c:v>
                </c:pt>
                <c:pt idx="1">
                  <c:v>2186669613.4064493</c:v>
                </c:pt>
                <c:pt idx="2">
                  <c:v>16000000</c:v>
                </c:pt>
                <c:pt idx="3">
                  <c:v>15257000</c:v>
                </c:pt>
                <c:pt idx="4">
                  <c:v>7628500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B-40A5-B52C-A925D6CAA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121087"/>
        <c:axId val="1524130687"/>
      </c:barChart>
      <c:catAx>
        <c:axId val="15241210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30687"/>
        <c:crosses val="autoZero"/>
        <c:auto val="1"/>
        <c:lblAlgn val="ctr"/>
        <c:lblOffset val="100"/>
        <c:noMultiLvlLbl val="0"/>
      </c:catAx>
      <c:valAx>
        <c:axId val="15241306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2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080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AISC 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AISC  </a:t>
          </a:r>
        </a:p>
      </cx:txPr>
    </cx:title>
    <cx:plotArea>
      <cx:plotAreaRegion>
        <cx:series layoutId="waterfall" uniqueId="{0EB8FC35-A2C0-4F01-83BD-106D01524DBA}" formatIdx="0">
          <cx:spPr>
            <a:solidFill>
              <a:schemeClr val="tx2">
                <a:lumMod val="75000"/>
                <a:lumOff val="25000"/>
              </a:schemeClr>
            </a:solidFill>
          </cx:spPr>
          <cx:dataPt idx="0">
            <cx:spPr>
              <a:solidFill>
                <a:srgbClr val="0E2841">
                  <a:lumMod val="25000"/>
                  <a:lumOff val="75000"/>
                </a:srgbClr>
              </a:solidFill>
            </cx:spPr>
          </cx:dataPt>
          <cx:dataPt idx="1">
            <cx:spPr>
              <a:solidFill>
                <a:srgbClr val="0E2841">
                  <a:lumMod val="25000"/>
                  <a:lumOff val="75000"/>
                </a:srgbClr>
              </a:solidFill>
            </cx:spPr>
          </cx:dataPt>
          <cx:dataPt idx="2">
            <cx:spPr>
              <a:solidFill>
                <a:srgbClr val="0E2841">
                  <a:lumMod val="25000"/>
                  <a:lumOff val="75000"/>
                </a:srgbClr>
              </a:solidFill>
            </cx:spPr>
          </cx:dataPt>
          <cx:dataPt idx="3">
            <cx:spPr>
              <a:solidFill>
                <a:srgbClr val="0E2841">
                  <a:lumMod val="25000"/>
                  <a:lumOff val="75000"/>
                </a:srgbClr>
              </a:solidFill>
            </cx:spPr>
          </cx:dataPt>
          <cx:dataPt idx="4">
            <cx:spPr>
              <a:solidFill>
                <a:srgbClr val="0E2841">
                  <a:lumMod val="25000"/>
                  <a:lumOff val="75000"/>
                </a:srgb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5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n-GB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ckLabels/>
      </cx:axis>
    </cx:plotArea>
  </cx:chart>
  <cx:spPr>
    <a:ln w="50800">
      <a:solidFill>
        <a:schemeClr val="accent1">
          <a:alpha val="99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0</xdr:row>
      <xdr:rowOff>34290</xdr:rowOff>
    </xdr:from>
    <xdr:to>
      <xdr:col>6</xdr:col>
      <xdr:colOff>472440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23FACD1-AD0B-33FC-F812-C9396C9F9C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4100" y="34290"/>
              <a:ext cx="5349240" cy="3074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7620</xdr:colOff>
      <xdr:row>18</xdr:row>
      <xdr:rowOff>11430</xdr:rowOff>
    </xdr:from>
    <xdr:to>
      <xdr:col>6</xdr:col>
      <xdr:colOff>480060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4952A7-9A76-3C52-FC5A-83F306DA1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15240</xdr:colOff>
      <xdr:row>36</xdr:row>
      <xdr:rowOff>7620</xdr:rowOff>
    </xdr:from>
    <xdr:to>
      <xdr:col>8</xdr:col>
      <xdr:colOff>510540</xdr:colOff>
      <xdr:row>51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89B409-FE68-A701-6D74-22745DFE3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A85A-3101-43CA-B294-FE06DE3C4312}">
  <dimension ref="A1:C22"/>
  <sheetViews>
    <sheetView workbookViewId="0"/>
  </sheetViews>
  <sheetFormatPr defaultRowHeight="14.4" x14ac:dyDescent="0.3"/>
  <cols>
    <col min="1" max="1" width="17.44140625" bestFit="1" customWidth="1"/>
    <col min="2" max="2" width="16.109375" bestFit="1" customWidth="1"/>
    <col min="3" max="3" width="1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3800</v>
      </c>
      <c r="C2" t="s">
        <v>17</v>
      </c>
    </row>
    <row r="3" spans="1:3" x14ac:dyDescent="0.3">
      <c r="A3" t="s">
        <v>4</v>
      </c>
      <c r="B3">
        <v>365</v>
      </c>
      <c r="C3" t="s">
        <v>18</v>
      </c>
    </row>
    <row r="4" spans="1:3" x14ac:dyDescent="0.3">
      <c r="A4" t="s">
        <v>5</v>
      </c>
      <c r="B4">
        <v>7.5</v>
      </c>
      <c r="C4" t="s">
        <v>19</v>
      </c>
    </row>
    <row r="5" spans="1:3" x14ac:dyDescent="0.3">
      <c r="A5" t="s">
        <v>6</v>
      </c>
      <c r="B5">
        <v>0.96</v>
      </c>
      <c r="C5" t="s">
        <v>20</v>
      </c>
    </row>
    <row r="6" spans="1:3" x14ac:dyDescent="0.3">
      <c r="A6" t="s">
        <v>7</v>
      </c>
      <c r="B6">
        <v>10</v>
      </c>
      <c r="C6" t="s">
        <v>21</v>
      </c>
    </row>
    <row r="8" spans="1:3" x14ac:dyDescent="0.3">
      <c r="A8" t="s">
        <v>8</v>
      </c>
      <c r="B8" s="4">
        <v>4500</v>
      </c>
      <c r="C8" t="s">
        <v>22</v>
      </c>
    </row>
    <row r="10" spans="1:3" x14ac:dyDescent="0.3">
      <c r="A10" t="s">
        <v>9</v>
      </c>
      <c r="B10" s="4">
        <v>0.75</v>
      </c>
      <c r="C10" t="s">
        <v>23</v>
      </c>
    </row>
    <row r="12" spans="1:3" x14ac:dyDescent="0.3">
      <c r="A12" t="s">
        <v>10</v>
      </c>
      <c r="B12" s="4">
        <v>110</v>
      </c>
      <c r="C12" t="s">
        <v>24</v>
      </c>
    </row>
    <row r="13" spans="1:3" x14ac:dyDescent="0.3">
      <c r="A13" t="s">
        <v>11</v>
      </c>
      <c r="B13" s="4">
        <v>55</v>
      </c>
      <c r="C13" t="s">
        <v>24</v>
      </c>
    </row>
    <row r="14" spans="1:3" x14ac:dyDescent="0.3">
      <c r="A14" t="s">
        <v>12</v>
      </c>
      <c r="B14" s="4">
        <v>25</v>
      </c>
      <c r="C14" t="s">
        <v>24</v>
      </c>
    </row>
    <row r="15" spans="1:3" x14ac:dyDescent="0.3">
      <c r="A15" t="s">
        <v>13</v>
      </c>
      <c r="B15" s="4">
        <v>80000000</v>
      </c>
      <c r="C15" t="s">
        <v>25</v>
      </c>
    </row>
    <row r="16" spans="1:3" x14ac:dyDescent="0.3">
      <c r="A16" t="s">
        <v>14</v>
      </c>
      <c r="B16" s="4">
        <v>150000000</v>
      </c>
      <c r="C16" t="s">
        <v>26</v>
      </c>
    </row>
    <row r="17" spans="1:3" x14ac:dyDescent="0.3">
      <c r="A17" t="s">
        <v>15</v>
      </c>
      <c r="B17">
        <v>0.02</v>
      </c>
      <c r="C17" t="s">
        <v>27</v>
      </c>
    </row>
    <row r="18" spans="1:3" x14ac:dyDescent="0.3">
      <c r="A18" t="s">
        <v>16</v>
      </c>
      <c r="B18">
        <v>0.05</v>
      </c>
      <c r="C18" t="s">
        <v>20</v>
      </c>
    </row>
    <row r="20" spans="1:3" x14ac:dyDescent="0.3">
      <c r="A20" t="s">
        <v>50</v>
      </c>
      <c r="B20" s="1">
        <v>1</v>
      </c>
    </row>
    <row r="21" spans="1:3" x14ac:dyDescent="0.3">
      <c r="A21" t="s">
        <v>51</v>
      </c>
      <c r="B21">
        <f>B4*B20</f>
        <v>7.5</v>
      </c>
    </row>
    <row r="22" spans="1:3" x14ac:dyDescent="0.3">
      <c r="B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914B-AA2D-442B-A555-3E1A90F6C141}">
  <dimension ref="A1:E11"/>
  <sheetViews>
    <sheetView workbookViewId="0">
      <selection activeCell="B2" sqref="B2"/>
    </sheetView>
  </sheetViews>
  <sheetFormatPr defaultRowHeight="14.4" x14ac:dyDescent="0.3"/>
  <cols>
    <col min="5" max="5" width="11.44140625" bestFit="1" customWidth="1"/>
  </cols>
  <sheetData>
    <row r="1" spans="1:5" x14ac:dyDescent="0.3">
      <c r="A1" t="s">
        <v>28</v>
      </c>
      <c r="B1" t="s">
        <v>29</v>
      </c>
      <c r="C1" t="s">
        <v>30</v>
      </c>
      <c r="D1" t="s">
        <v>6</v>
      </c>
      <c r="E1" t="s">
        <v>31</v>
      </c>
    </row>
    <row r="2" spans="1:5" x14ac:dyDescent="0.3">
      <c r="A2">
        <v>1</v>
      </c>
      <c r="B2">
        <f>Inputs!$B$2 * Inputs!$B$3</f>
        <v>1387000</v>
      </c>
      <c r="C2">
        <f>Inputs!$B$21</f>
        <v>7.5</v>
      </c>
      <c r="D2">
        <f>Inputs!$B$5</f>
        <v>0.96</v>
      </c>
      <c r="E2" s="2">
        <f>B2 * C2 * D2 / 31.1035</f>
        <v>321069.97604771168</v>
      </c>
    </row>
    <row r="3" spans="1:5" x14ac:dyDescent="0.3">
      <c r="A3">
        <v>2</v>
      </c>
      <c r="B3">
        <f>Inputs!$B$2 * Inputs!$B$3</f>
        <v>1387000</v>
      </c>
      <c r="C3">
        <f>Inputs!$B$21</f>
        <v>7.5</v>
      </c>
      <c r="D3">
        <f>Inputs!$B$5</f>
        <v>0.96</v>
      </c>
      <c r="E3" s="2">
        <f t="shared" ref="E3:E11" si="0">B3 * C3 * D3 / 31.1035</f>
        <v>321069.97604771168</v>
      </c>
    </row>
    <row r="4" spans="1:5" x14ac:dyDescent="0.3">
      <c r="A4">
        <v>3</v>
      </c>
      <c r="B4">
        <f>Inputs!$B$2 * Inputs!$B$3</f>
        <v>1387000</v>
      </c>
      <c r="C4">
        <f>Inputs!$B$21</f>
        <v>7.5</v>
      </c>
      <c r="D4">
        <f>Inputs!$B$5</f>
        <v>0.96</v>
      </c>
      <c r="E4" s="2">
        <f t="shared" si="0"/>
        <v>321069.97604771168</v>
      </c>
    </row>
    <row r="5" spans="1:5" x14ac:dyDescent="0.3">
      <c r="A5">
        <v>4</v>
      </c>
      <c r="B5">
        <f>Inputs!$B$2 * Inputs!$B$3</f>
        <v>1387000</v>
      </c>
      <c r="C5">
        <f>Inputs!$B$21</f>
        <v>7.5</v>
      </c>
      <c r="D5">
        <f>Inputs!$B$5</f>
        <v>0.96</v>
      </c>
      <c r="E5" s="2">
        <f t="shared" si="0"/>
        <v>321069.97604771168</v>
      </c>
    </row>
    <row r="6" spans="1:5" x14ac:dyDescent="0.3">
      <c r="A6">
        <v>5</v>
      </c>
      <c r="B6">
        <f>Inputs!$B$2 * Inputs!$B$3</f>
        <v>1387000</v>
      </c>
      <c r="C6">
        <f>Inputs!$B$21</f>
        <v>7.5</v>
      </c>
      <c r="D6">
        <f>Inputs!$B$5</f>
        <v>0.96</v>
      </c>
      <c r="E6" s="2">
        <f t="shared" si="0"/>
        <v>321069.97604771168</v>
      </c>
    </row>
    <row r="7" spans="1:5" x14ac:dyDescent="0.3">
      <c r="A7">
        <v>6</v>
      </c>
      <c r="B7">
        <f>Inputs!$B$2 * Inputs!$B$3</f>
        <v>1387000</v>
      </c>
      <c r="C7">
        <f>Inputs!$B$21</f>
        <v>7.5</v>
      </c>
      <c r="D7">
        <f>Inputs!$B$5</f>
        <v>0.96</v>
      </c>
      <c r="E7" s="2">
        <f t="shared" si="0"/>
        <v>321069.97604771168</v>
      </c>
    </row>
    <row r="8" spans="1:5" x14ac:dyDescent="0.3">
      <c r="A8">
        <v>7</v>
      </c>
      <c r="B8">
        <f>Inputs!$B$2 * Inputs!$B$3</f>
        <v>1387000</v>
      </c>
      <c r="C8">
        <f>Inputs!$B$21</f>
        <v>7.5</v>
      </c>
      <c r="D8">
        <f>Inputs!$B$5</f>
        <v>0.96</v>
      </c>
      <c r="E8" s="2">
        <f t="shared" si="0"/>
        <v>321069.97604771168</v>
      </c>
    </row>
    <row r="9" spans="1:5" x14ac:dyDescent="0.3">
      <c r="A9">
        <v>8</v>
      </c>
      <c r="B9">
        <f>Inputs!$B$2 * Inputs!$B$3</f>
        <v>1387000</v>
      </c>
      <c r="C9">
        <f>Inputs!$B$21</f>
        <v>7.5</v>
      </c>
      <c r="D9">
        <f>Inputs!$B$5</f>
        <v>0.96</v>
      </c>
      <c r="E9" s="2">
        <f t="shared" si="0"/>
        <v>321069.97604771168</v>
      </c>
    </row>
    <row r="10" spans="1:5" x14ac:dyDescent="0.3">
      <c r="A10">
        <v>9</v>
      </c>
      <c r="B10">
        <f>Inputs!$B$2 * Inputs!$B$3</f>
        <v>1387000</v>
      </c>
      <c r="C10">
        <f>Inputs!$B$21</f>
        <v>7.5</v>
      </c>
      <c r="D10">
        <f>Inputs!$B$5</f>
        <v>0.96</v>
      </c>
      <c r="E10" s="2">
        <f t="shared" si="0"/>
        <v>321069.97604771168</v>
      </c>
    </row>
    <row r="11" spans="1:5" x14ac:dyDescent="0.3">
      <c r="A11">
        <v>10</v>
      </c>
      <c r="B11">
        <f>Inputs!$B$2 * Inputs!$B$3</f>
        <v>1387000</v>
      </c>
      <c r="C11">
        <f>Inputs!$B$21</f>
        <v>7.5</v>
      </c>
      <c r="D11">
        <f>Inputs!$B$5</f>
        <v>0.96</v>
      </c>
      <c r="E11" s="2">
        <f t="shared" si="0"/>
        <v>321069.97604771168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0939-44B9-4CA8-BE54-B04FF4C960EB}">
  <dimension ref="A1:K20"/>
  <sheetViews>
    <sheetView workbookViewId="0">
      <selection activeCell="D2" sqref="D2"/>
    </sheetView>
  </sheetViews>
  <sheetFormatPr defaultRowHeight="14.4" x14ac:dyDescent="0.3"/>
  <cols>
    <col min="1" max="1" width="14.6640625" bestFit="1" customWidth="1"/>
    <col min="2" max="2" width="17.33203125" bestFit="1" customWidth="1"/>
    <col min="3" max="3" width="13.109375" bestFit="1" customWidth="1"/>
    <col min="4" max="4" width="17.33203125" bestFit="1" customWidth="1"/>
    <col min="5" max="5" width="19.33203125" bestFit="1" customWidth="1"/>
    <col min="6" max="6" width="16.109375" bestFit="1" customWidth="1"/>
    <col min="7" max="7" width="20.5546875" bestFit="1" customWidth="1"/>
    <col min="8" max="8" width="18.77734375" bestFit="1" customWidth="1"/>
    <col min="9" max="9" width="16.109375" bestFit="1" customWidth="1"/>
    <col min="10" max="10" width="17.6640625" bestFit="1" customWidth="1"/>
    <col min="11" max="11" width="12.5546875" bestFit="1" customWidth="1"/>
  </cols>
  <sheetData>
    <row r="1" spans="1:11" x14ac:dyDescent="0.3">
      <c r="A1" t="s">
        <v>28</v>
      </c>
      <c r="B1" t="s">
        <v>29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 spans="1:11" x14ac:dyDescent="0.3">
      <c r="A2">
        <f>Production!A2</f>
        <v>1</v>
      </c>
      <c r="B2" s="3">
        <f>Production!B2</f>
        <v>1387000</v>
      </c>
      <c r="C2" s="2">
        <f>Production!E2</f>
        <v>321069.97604771168</v>
      </c>
      <c r="D2" s="4">
        <f>B2 * Inputs!$B$12</f>
        <v>152570000</v>
      </c>
      <c r="E2" s="4">
        <f>B2 * Inputs!$B$13</f>
        <v>76285000</v>
      </c>
      <c r="F2" s="4">
        <f>B2 * Inputs!$B$14</f>
        <v>34675000</v>
      </c>
      <c r="G2" s="4">
        <f>Inputs!$B$15</f>
        <v>80000000</v>
      </c>
      <c r="H2" s="4">
        <f>C2 * Inputs!$B$8</f>
        <v>1444814892.2147026</v>
      </c>
      <c r="I2" s="4">
        <f>H2 * Inputs!$B$17</f>
        <v>28896297.844294053</v>
      </c>
      <c r="J2" s="4">
        <f>D2 + E2 + F2 + G2 + I2</f>
        <v>372426297.84429407</v>
      </c>
      <c r="K2" s="4">
        <f>J2 / C2</f>
        <v>1159.9536724945926</v>
      </c>
    </row>
    <row r="3" spans="1:11" x14ac:dyDescent="0.3">
      <c r="A3">
        <f>Production!A3</f>
        <v>2</v>
      </c>
      <c r="B3" s="3">
        <f>Production!B3</f>
        <v>1387000</v>
      </c>
      <c r="C3" s="2">
        <f>Production!E3</f>
        <v>321069.97604771168</v>
      </c>
      <c r="D3" s="4">
        <f>B3 * Inputs!$B$12</f>
        <v>152570000</v>
      </c>
      <c r="E3" s="4">
        <f>B3 * Inputs!$B$13</f>
        <v>76285000</v>
      </c>
      <c r="F3" s="4">
        <f>B3 * Inputs!$B$14</f>
        <v>34675000</v>
      </c>
      <c r="G3" s="4">
        <f>Inputs!$B$15</f>
        <v>80000000</v>
      </c>
      <c r="H3" s="4">
        <f>C3 * Inputs!$B$8</f>
        <v>1444814892.2147026</v>
      </c>
      <c r="I3" s="4">
        <f>H3 * Inputs!$B$17</f>
        <v>28896297.844294053</v>
      </c>
      <c r="J3" s="4">
        <f t="shared" ref="J3:J11" si="0">D3 + E3 + F3 + G3 + I3</f>
        <v>372426297.84429407</v>
      </c>
      <c r="K3" s="4">
        <f t="shared" ref="K3:K11" si="1">J3 / C3</f>
        <v>1159.9536724945926</v>
      </c>
    </row>
    <row r="4" spans="1:11" x14ac:dyDescent="0.3">
      <c r="A4">
        <f>Production!A4</f>
        <v>3</v>
      </c>
      <c r="B4" s="3">
        <f>Production!B4</f>
        <v>1387000</v>
      </c>
      <c r="C4" s="2">
        <f>Production!E4</f>
        <v>321069.97604771168</v>
      </c>
      <c r="D4" s="4">
        <f>B4 * Inputs!$B$12</f>
        <v>152570000</v>
      </c>
      <c r="E4" s="4">
        <f>B4 * Inputs!$B$13</f>
        <v>76285000</v>
      </c>
      <c r="F4" s="4">
        <f>B4 * Inputs!$B$14</f>
        <v>34675000</v>
      </c>
      <c r="G4" s="4">
        <f>Inputs!$B$15</f>
        <v>80000000</v>
      </c>
      <c r="H4" s="4">
        <f>C4 * Inputs!$B$8</f>
        <v>1444814892.2147026</v>
      </c>
      <c r="I4" s="4">
        <f>H4 * Inputs!$B$17</f>
        <v>28896297.844294053</v>
      </c>
      <c r="J4" s="4">
        <f t="shared" si="0"/>
        <v>372426297.84429407</v>
      </c>
      <c r="K4" s="4">
        <f t="shared" si="1"/>
        <v>1159.9536724945926</v>
      </c>
    </row>
    <row r="5" spans="1:11" x14ac:dyDescent="0.3">
      <c r="A5">
        <f>Production!A5</f>
        <v>4</v>
      </c>
      <c r="B5" s="3">
        <f>Production!B5</f>
        <v>1387000</v>
      </c>
      <c r="C5" s="2">
        <f>Production!E5</f>
        <v>321069.97604771168</v>
      </c>
      <c r="D5" s="4">
        <f>B5 * Inputs!$B$12</f>
        <v>152570000</v>
      </c>
      <c r="E5" s="4">
        <f>B5 * Inputs!$B$13</f>
        <v>76285000</v>
      </c>
      <c r="F5" s="4">
        <f>B5 * Inputs!$B$14</f>
        <v>34675000</v>
      </c>
      <c r="G5" s="4">
        <f>Inputs!$B$15</f>
        <v>80000000</v>
      </c>
      <c r="H5" s="4">
        <f>C5 * Inputs!$B$8</f>
        <v>1444814892.2147026</v>
      </c>
      <c r="I5" s="4">
        <f>H5 * Inputs!$B$17</f>
        <v>28896297.844294053</v>
      </c>
      <c r="J5" s="4">
        <f t="shared" si="0"/>
        <v>372426297.84429407</v>
      </c>
      <c r="K5" s="4">
        <f t="shared" si="1"/>
        <v>1159.9536724945926</v>
      </c>
    </row>
    <row r="6" spans="1:11" x14ac:dyDescent="0.3">
      <c r="A6">
        <f>Production!A6</f>
        <v>5</v>
      </c>
      <c r="B6" s="3">
        <f>Production!B6</f>
        <v>1387000</v>
      </c>
      <c r="C6" s="2">
        <f>Production!E6</f>
        <v>321069.97604771168</v>
      </c>
      <c r="D6" s="4">
        <f>B6 * Inputs!$B$12</f>
        <v>152570000</v>
      </c>
      <c r="E6" s="4">
        <f>B6 * Inputs!$B$13</f>
        <v>76285000</v>
      </c>
      <c r="F6" s="4">
        <f>B6 * Inputs!$B$14</f>
        <v>34675000</v>
      </c>
      <c r="G6" s="4">
        <f>Inputs!$B$15</f>
        <v>80000000</v>
      </c>
      <c r="H6" s="4">
        <f>C6 * Inputs!$B$8</f>
        <v>1444814892.2147026</v>
      </c>
      <c r="I6" s="4">
        <f>H6 * Inputs!$B$17</f>
        <v>28896297.844294053</v>
      </c>
      <c r="J6" s="4">
        <f t="shared" si="0"/>
        <v>372426297.84429407</v>
      </c>
      <c r="K6" s="4">
        <f t="shared" si="1"/>
        <v>1159.9536724945926</v>
      </c>
    </row>
    <row r="7" spans="1:11" x14ac:dyDescent="0.3">
      <c r="A7">
        <f>Production!A7</f>
        <v>6</v>
      </c>
      <c r="B7" s="3">
        <f>Production!B7</f>
        <v>1387000</v>
      </c>
      <c r="C7" s="2">
        <f>Production!E7</f>
        <v>321069.97604771168</v>
      </c>
      <c r="D7" s="4">
        <f>B7 * Inputs!$B$12</f>
        <v>152570000</v>
      </c>
      <c r="E7" s="4">
        <f>B7 * Inputs!$B$13</f>
        <v>76285000</v>
      </c>
      <c r="F7" s="4">
        <f>B7 * Inputs!$B$14</f>
        <v>34675000</v>
      </c>
      <c r="G7" s="4">
        <f>Inputs!$B$15</f>
        <v>80000000</v>
      </c>
      <c r="H7" s="4">
        <f>C7 * Inputs!$B$8</f>
        <v>1444814892.2147026</v>
      </c>
      <c r="I7" s="4">
        <f>H7 * Inputs!$B$17</f>
        <v>28896297.844294053</v>
      </c>
      <c r="J7" s="4">
        <f t="shared" si="0"/>
        <v>372426297.84429407</v>
      </c>
      <c r="K7" s="4">
        <f t="shared" si="1"/>
        <v>1159.9536724945926</v>
      </c>
    </row>
    <row r="8" spans="1:11" x14ac:dyDescent="0.3">
      <c r="A8">
        <f>Production!A8</f>
        <v>7</v>
      </c>
      <c r="B8" s="3">
        <f>Production!B8</f>
        <v>1387000</v>
      </c>
      <c r="C8" s="2">
        <f>Production!E8</f>
        <v>321069.97604771168</v>
      </c>
      <c r="D8" s="4">
        <f>B8 * Inputs!$B$12</f>
        <v>152570000</v>
      </c>
      <c r="E8" s="4">
        <f>B8 * Inputs!$B$13</f>
        <v>76285000</v>
      </c>
      <c r="F8" s="4">
        <f>B8 * Inputs!$B$14</f>
        <v>34675000</v>
      </c>
      <c r="G8" s="4">
        <f>Inputs!$B$15</f>
        <v>80000000</v>
      </c>
      <c r="H8" s="4">
        <f>C8 * Inputs!$B$8</f>
        <v>1444814892.2147026</v>
      </c>
      <c r="I8" s="4">
        <f>H8 * Inputs!$B$17</f>
        <v>28896297.844294053</v>
      </c>
      <c r="J8" s="4">
        <f t="shared" si="0"/>
        <v>372426297.84429407</v>
      </c>
      <c r="K8" s="4">
        <f t="shared" si="1"/>
        <v>1159.9536724945926</v>
      </c>
    </row>
    <row r="9" spans="1:11" x14ac:dyDescent="0.3">
      <c r="A9">
        <f>Production!A9</f>
        <v>8</v>
      </c>
      <c r="B9" s="3">
        <f>Production!B9</f>
        <v>1387000</v>
      </c>
      <c r="C9" s="2">
        <f>Production!E9</f>
        <v>321069.97604771168</v>
      </c>
      <c r="D9" s="4">
        <f>B9 * Inputs!$B$12</f>
        <v>152570000</v>
      </c>
      <c r="E9" s="4">
        <f>B9 * Inputs!$B$13</f>
        <v>76285000</v>
      </c>
      <c r="F9" s="4">
        <f>B9 * Inputs!$B$14</f>
        <v>34675000</v>
      </c>
      <c r="G9" s="4">
        <f>Inputs!$B$15</f>
        <v>80000000</v>
      </c>
      <c r="H9" s="4">
        <f>C9 * Inputs!$B$8</f>
        <v>1444814892.2147026</v>
      </c>
      <c r="I9" s="4">
        <f>H9 * Inputs!$B$17</f>
        <v>28896297.844294053</v>
      </c>
      <c r="J9" s="4">
        <f t="shared" si="0"/>
        <v>372426297.84429407</v>
      </c>
      <c r="K9" s="4">
        <f t="shared" si="1"/>
        <v>1159.9536724945926</v>
      </c>
    </row>
    <row r="10" spans="1:11" x14ac:dyDescent="0.3">
      <c r="A10">
        <f>Production!A10</f>
        <v>9</v>
      </c>
      <c r="B10" s="3">
        <f>Production!B10</f>
        <v>1387000</v>
      </c>
      <c r="C10" s="2">
        <f>Production!E10</f>
        <v>321069.97604771168</v>
      </c>
      <c r="D10" s="4">
        <f>B10 * Inputs!$B$12</f>
        <v>152570000</v>
      </c>
      <c r="E10" s="4">
        <f>B10 * Inputs!$B$13</f>
        <v>76285000</v>
      </c>
      <c r="F10" s="4">
        <f>B10 * Inputs!$B$14</f>
        <v>34675000</v>
      </c>
      <c r="G10" s="4">
        <f>Inputs!$B$15</f>
        <v>80000000</v>
      </c>
      <c r="H10" s="4">
        <f>C10 * Inputs!$B$8</f>
        <v>1444814892.2147026</v>
      </c>
      <c r="I10" s="4">
        <f>H10 * Inputs!$B$17</f>
        <v>28896297.844294053</v>
      </c>
      <c r="J10" s="4">
        <f t="shared" si="0"/>
        <v>372426297.84429407</v>
      </c>
      <c r="K10" s="4">
        <f t="shared" si="1"/>
        <v>1159.9536724945926</v>
      </c>
    </row>
    <row r="11" spans="1:11" x14ac:dyDescent="0.3">
      <c r="A11">
        <f>Production!A11</f>
        <v>10</v>
      </c>
      <c r="B11" s="3">
        <f>Production!B11</f>
        <v>1387000</v>
      </c>
      <c r="C11" s="2">
        <f>Production!E11</f>
        <v>321069.97604771168</v>
      </c>
      <c r="D11" s="4">
        <f>B11 * Inputs!$B$12</f>
        <v>152570000</v>
      </c>
      <c r="E11" s="4">
        <f>B11 * Inputs!$B$13</f>
        <v>76285000</v>
      </c>
      <c r="F11" s="4">
        <f>B11 * Inputs!$B$14</f>
        <v>34675000</v>
      </c>
      <c r="G11" s="4">
        <f>Inputs!$B$15</f>
        <v>80000000</v>
      </c>
      <c r="H11" s="4">
        <f>C11 * Inputs!$B$8</f>
        <v>1444814892.2147026</v>
      </c>
      <c r="I11" s="4">
        <f>H11 * Inputs!$B$17</f>
        <v>28896297.844294053</v>
      </c>
      <c r="J11" s="4">
        <f t="shared" si="0"/>
        <v>372426297.84429407</v>
      </c>
      <c r="K11" s="4">
        <f t="shared" si="1"/>
        <v>1159.9536724945926</v>
      </c>
    </row>
    <row r="13" spans="1:11" x14ac:dyDescent="0.3">
      <c r="A13" t="s">
        <v>40</v>
      </c>
      <c r="B13" s="4">
        <f>SUM(J2:J11)</f>
        <v>3724262978.4429407</v>
      </c>
    </row>
    <row r="14" spans="1:11" x14ac:dyDescent="0.3">
      <c r="A14" t="s">
        <v>41</v>
      </c>
      <c r="B14" s="2">
        <f>SUM(C2:C11)</f>
        <v>3210699.7604771163</v>
      </c>
    </row>
    <row r="15" spans="1:11" x14ac:dyDescent="0.3">
      <c r="A15" t="s">
        <v>42</v>
      </c>
      <c r="B15" s="4">
        <f>B13 / B14</f>
        <v>1159.9536724945929</v>
      </c>
    </row>
    <row r="20" spans="1:10" x14ac:dyDescent="0.3">
      <c r="A20" t="s">
        <v>54</v>
      </c>
      <c r="B20" s="7">
        <f>SUM(B2:B11)</f>
        <v>13870000</v>
      </c>
      <c r="C20" s="6">
        <f>SUM(C2:C11)</f>
        <v>3210699.7604771163</v>
      </c>
      <c r="D20" s="4">
        <f t="shared" ref="D20:J20" si="2">SUM(D2:D11)</f>
        <v>1525700000</v>
      </c>
      <c r="E20" s="4">
        <f t="shared" si="2"/>
        <v>762850000</v>
      </c>
      <c r="F20" s="4">
        <f t="shared" si="2"/>
        <v>346750000</v>
      </c>
      <c r="G20" s="4">
        <f t="shared" si="2"/>
        <v>800000000</v>
      </c>
      <c r="H20" s="4">
        <f t="shared" si="2"/>
        <v>14448148922.147026</v>
      </c>
      <c r="I20" s="4">
        <f t="shared" si="2"/>
        <v>288962978.44294047</v>
      </c>
      <c r="J20" s="4">
        <f t="shared" si="2"/>
        <v>3724262978.4429407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D993-DCCF-45B0-A21A-2936E4D80925}">
  <dimension ref="A1:G13"/>
  <sheetViews>
    <sheetView workbookViewId="0">
      <selection activeCell="B13" sqref="B13"/>
    </sheetView>
  </sheetViews>
  <sheetFormatPr defaultRowHeight="14.4" x14ac:dyDescent="0.3"/>
  <cols>
    <col min="2" max="2" width="18.33203125" bestFit="1" customWidth="1"/>
    <col min="3" max="3" width="17.6640625" bestFit="1" customWidth="1"/>
    <col min="4" max="4" width="16.44140625" bestFit="1" customWidth="1"/>
    <col min="5" max="5" width="17.77734375" bestFit="1" customWidth="1"/>
    <col min="6" max="6" width="13" bestFit="1" customWidth="1"/>
    <col min="7" max="7" width="18.44140625" bestFit="1" customWidth="1"/>
  </cols>
  <sheetData>
    <row r="1" spans="1:7" x14ac:dyDescent="0.3">
      <c r="A1" t="s">
        <v>28</v>
      </c>
      <c r="B1" t="s">
        <v>43</v>
      </c>
      <c r="C1" t="s">
        <v>38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3">
      <c r="A2">
        <f>Costs_AISC!A2</f>
        <v>1</v>
      </c>
      <c r="B2" s="5">
        <f>Costs_AISC!H2</f>
        <v>1444814892.2147026</v>
      </c>
      <c r="C2" s="5">
        <f>Costs_AISC!J2</f>
        <v>372426297.84429407</v>
      </c>
      <c r="D2">
        <v>0</v>
      </c>
      <c r="E2" s="5">
        <f>B2 - C2 - D2</f>
        <v>1072388594.3704085</v>
      </c>
      <c r="F2">
        <f>1 / (1 + Inputs!$B$18)^A2</f>
        <v>0.95238095238095233</v>
      </c>
      <c r="G2" s="4">
        <f>E2 * F2</f>
        <v>1021322470.8289604</v>
      </c>
    </row>
    <row r="3" spans="1:7" x14ac:dyDescent="0.3">
      <c r="A3">
        <f>Costs_AISC!A3</f>
        <v>2</v>
      </c>
      <c r="B3" s="5">
        <f>Costs_AISC!H3</f>
        <v>1444814892.2147026</v>
      </c>
      <c r="C3" s="5">
        <f>Costs_AISC!J3</f>
        <v>372426297.84429407</v>
      </c>
      <c r="D3">
        <v>0</v>
      </c>
      <c r="E3" s="5">
        <f t="shared" ref="E3:E11" si="0">B3 - C3 - D3</f>
        <v>1072388594.3704085</v>
      </c>
      <c r="F3">
        <f>1 / (1 + Inputs!$B$18)^A3</f>
        <v>0.90702947845804982</v>
      </c>
      <c r="G3" s="4">
        <f t="shared" ref="G3:G11" si="1">E3 * F3</f>
        <v>972688067.4561528</v>
      </c>
    </row>
    <row r="4" spans="1:7" x14ac:dyDescent="0.3">
      <c r="A4">
        <f>Costs_AISC!A4</f>
        <v>3</v>
      </c>
      <c r="B4" s="5">
        <f>Costs_AISC!H4</f>
        <v>1444814892.2147026</v>
      </c>
      <c r="C4" s="5">
        <f>Costs_AISC!J4</f>
        <v>372426297.84429407</v>
      </c>
      <c r="D4">
        <v>0</v>
      </c>
      <c r="E4" s="5">
        <f t="shared" si="0"/>
        <v>1072388594.3704085</v>
      </c>
      <c r="F4">
        <f>1 / (1 + Inputs!$B$18)^A4</f>
        <v>0.86383759853147601</v>
      </c>
      <c r="G4" s="4">
        <f t="shared" si="1"/>
        <v>926369588.05347884</v>
      </c>
    </row>
    <row r="5" spans="1:7" x14ac:dyDescent="0.3">
      <c r="A5">
        <f>Costs_AISC!A5</f>
        <v>4</v>
      </c>
      <c r="B5" s="5">
        <f>Costs_AISC!H5</f>
        <v>1444814892.2147026</v>
      </c>
      <c r="C5" s="5">
        <f>Costs_AISC!J5</f>
        <v>372426297.84429407</v>
      </c>
      <c r="D5">
        <v>0</v>
      </c>
      <c r="E5" s="5">
        <f t="shared" si="0"/>
        <v>1072388594.3704085</v>
      </c>
      <c r="F5">
        <f>1 / (1 + Inputs!$B$18)^A5</f>
        <v>0.82270247479188197</v>
      </c>
      <c r="G5" s="4">
        <f t="shared" si="1"/>
        <v>882256750.52712274</v>
      </c>
    </row>
    <row r="6" spans="1:7" x14ac:dyDescent="0.3">
      <c r="A6">
        <f>Costs_AISC!A6</f>
        <v>5</v>
      </c>
      <c r="B6" s="5">
        <f>Costs_AISC!H6</f>
        <v>1444814892.2147026</v>
      </c>
      <c r="C6" s="5">
        <f>Costs_AISC!J6</f>
        <v>372426297.84429407</v>
      </c>
      <c r="D6">
        <v>0</v>
      </c>
      <c r="E6" s="5">
        <f t="shared" si="0"/>
        <v>1072388594.3704085</v>
      </c>
      <c r="F6">
        <f>1 / (1 + Inputs!$B$18)^A6</f>
        <v>0.78352616646845896</v>
      </c>
      <c r="G6" s="4">
        <f t="shared" si="1"/>
        <v>840244524.31154537</v>
      </c>
    </row>
    <row r="7" spans="1:7" x14ac:dyDescent="0.3">
      <c r="A7">
        <f>Costs_AISC!A7</f>
        <v>6</v>
      </c>
      <c r="B7" s="5">
        <f>Costs_AISC!H7</f>
        <v>1444814892.2147026</v>
      </c>
      <c r="C7" s="5">
        <f>Costs_AISC!J7</f>
        <v>372426297.84429407</v>
      </c>
      <c r="D7">
        <v>0</v>
      </c>
      <c r="E7" s="5">
        <f t="shared" si="0"/>
        <v>1072388594.3704085</v>
      </c>
      <c r="F7">
        <f>1 / (1 + Inputs!$B$18)^A7</f>
        <v>0.74621539663662761</v>
      </c>
      <c r="G7" s="4">
        <f t="shared" si="1"/>
        <v>800232880.29671001</v>
      </c>
    </row>
    <row r="8" spans="1:7" x14ac:dyDescent="0.3">
      <c r="A8">
        <f>Costs_AISC!A8</f>
        <v>7</v>
      </c>
      <c r="B8" s="5">
        <f>Costs_AISC!H8</f>
        <v>1444814892.2147026</v>
      </c>
      <c r="C8" s="5">
        <f>Costs_AISC!J8</f>
        <v>372426297.84429407</v>
      </c>
      <c r="D8">
        <v>0</v>
      </c>
      <c r="E8" s="5">
        <f t="shared" si="0"/>
        <v>1072388594.3704085</v>
      </c>
      <c r="F8">
        <f>1 / (1 + Inputs!$B$18)^A8</f>
        <v>0.71068133013012147</v>
      </c>
      <c r="G8" s="4">
        <f t="shared" si="1"/>
        <v>762126552.66353321</v>
      </c>
    </row>
    <row r="9" spans="1:7" x14ac:dyDescent="0.3">
      <c r="A9">
        <f>Costs_AISC!A9</f>
        <v>8</v>
      </c>
      <c r="B9" s="5">
        <f>Costs_AISC!H9</f>
        <v>1444814892.2147026</v>
      </c>
      <c r="C9" s="5">
        <f>Costs_AISC!J9</f>
        <v>372426297.84429407</v>
      </c>
      <c r="D9">
        <v>0</v>
      </c>
      <c r="E9" s="5">
        <f t="shared" si="0"/>
        <v>1072388594.3704085</v>
      </c>
      <c r="F9">
        <f>1 / (1 + Inputs!$B$18)^A9</f>
        <v>0.67683936202868722</v>
      </c>
      <c r="G9" s="4">
        <f t="shared" si="1"/>
        <v>725834812.06050789</v>
      </c>
    </row>
    <row r="10" spans="1:7" x14ac:dyDescent="0.3">
      <c r="A10">
        <f>Costs_AISC!A10</f>
        <v>9</v>
      </c>
      <c r="B10" s="5">
        <f>Costs_AISC!H10</f>
        <v>1444814892.2147026</v>
      </c>
      <c r="C10" s="5">
        <f>Costs_AISC!J10</f>
        <v>372426297.84429407</v>
      </c>
      <c r="D10">
        <v>0</v>
      </c>
      <c r="E10" s="5">
        <f t="shared" si="0"/>
        <v>1072388594.3704085</v>
      </c>
      <c r="F10">
        <f>1 / (1 + Inputs!$B$18)^A10</f>
        <v>0.64460891621779726</v>
      </c>
      <c r="G10" s="4">
        <f t="shared" si="1"/>
        <v>691271249.58143604</v>
      </c>
    </row>
    <row r="11" spans="1:7" x14ac:dyDescent="0.3">
      <c r="A11">
        <f>Costs_AISC!A11</f>
        <v>10</v>
      </c>
      <c r="B11" s="5">
        <f>Costs_AISC!H11</f>
        <v>1444814892.2147026</v>
      </c>
      <c r="C11" s="5">
        <f>Costs_AISC!J11</f>
        <v>372426297.84429407</v>
      </c>
      <c r="D11" s="4">
        <f>Inputs!$B$15</f>
        <v>80000000</v>
      </c>
      <c r="E11" s="5">
        <f t="shared" si="0"/>
        <v>992388594.37040854</v>
      </c>
      <c r="F11">
        <f>1 / (1 + Inputs!$B$18)^A11</f>
        <v>0.61391325354075932</v>
      </c>
      <c r="G11" s="4">
        <f t="shared" si="1"/>
        <v>609240510.74667835</v>
      </c>
    </row>
    <row r="13" spans="1:7" x14ac:dyDescent="0.3">
      <c r="A13" t="s">
        <v>48</v>
      </c>
      <c r="B13" s="5">
        <f>SUM(G2:G11)</f>
        <v>8231587406.5261259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1109-12AA-4796-A47D-F1709F765E18}">
  <dimension ref="A1:C10"/>
  <sheetViews>
    <sheetView workbookViewId="0">
      <selection activeCell="C4" sqref="C4"/>
    </sheetView>
  </sheetViews>
  <sheetFormatPr defaultRowHeight="14.4" x14ac:dyDescent="0.3"/>
  <cols>
    <col min="1" max="1" width="13.6640625" bestFit="1" customWidth="1"/>
    <col min="2" max="2" width="17.33203125" bestFit="1" customWidth="1"/>
    <col min="3" max="3" width="24.44140625" bestFit="1" customWidth="1"/>
  </cols>
  <sheetData>
    <row r="1" spans="1:3" x14ac:dyDescent="0.3">
      <c r="A1" t="s">
        <v>49</v>
      </c>
      <c r="B1" s="5" t="s">
        <v>52</v>
      </c>
      <c r="C1" t="s">
        <v>53</v>
      </c>
    </row>
    <row r="2" spans="1:3" x14ac:dyDescent="0.3">
      <c r="A2" t="s">
        <v>5</v>
      </c>
      <c r="B2" s="1">
        <v>0.8</v>
      </c>
      <c r="C2" s="5">
        <v>6044917793.1196775</v>
      </c>
    </row>
    <row r="3" spans="1:3" x14ac:dyDescent="0.3">
      <c r="A3" t="s">
        <v>5</v>
      </c>
      <c r="B3" s="1">
        <v>0.9</v>
      </c>
      <c r="C3" s="5">
        <v>7138252599.8229008</v>
      </c>
    </row>
    <row r="4" spans="1:3" x14ac:dyDescent="0.3">
      <c r="A4" t="s">
        <v>5</v>
      </c>
      <c r="B4" s="1">
        <v>1</v>
      </c>
      <c r="C4" s="5">
        <v>8231587406.5261259</v>
      </c>
    </row>
    <row r="5" spans="1:3" x14ac:dyDescent="0.3">
      <c r="A5" t="s">
        <v>5</v>
      </c>
      <c r="B5" s="1">
        <v>1.1000000000000001</v>
      </c>
      <c r="C5" s="5">
        <v>9324922213.2293491</v>
      </c>
    </row>
    <row r="6" spans="1:3" x14ac:dyDescent="0.3">
      <c r="A6" t="s">
        <v>5</v>
      </c>
      <c r="B6" s="1">
        <v>1.2</v>
      </c>
      <c r="C6" s="5">
        <v>10418257019.932575</v>
      </c>
    </row>
    <row r="7" spans="1:3" x14ac:dyDescent="0.3">
      <c r="B7" s="1"/>
    </row>
    <row r="8" spans="1:3" x14ac:dyDescent="0.3">
      <c r="B8" s="1"/>
    </row>
    <row r="9" spans="1:3" x14ac:dyDescent="0.3">
      <c r="B9" s="1"/>
    </row>
    <row r="10" spans="1:3" x14ac:dyDescent="0.3">
      <c r="B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F648-6C8D-4B0F-B3DA-DAE25A7F8BBA}">
  <dimension ref="A1:E68"/>
  <sheetViews>
    <sheetView tabSelected="1" zoomScaleNormal="100" workbookViewId="0">
      <selection activeCell="H13" sqref="H13"/>
    </sheetView>
  </sheetViews>
  <sheetFormatPr defaultRowHeight="14.4" x14ac:dyDescent="0.3"/>
  <cols>
    <col min="1" max="1" width="15.109375" bestFit="1" customWidth="1"/>
    <col min="2" max="2" width="18.44140625" bestFit="1" customWidth="1"/>
    <col min="3" max="3" width="18.44140625" customWidth="1"/>
    <col min="4" max="4" width="18.33203125" bestFit="1" customWidth="1"/>
    <col min="5" max="7" width="17.33203125" bestFit="1" customWidth="1"/>
  </cols>
  <sheetData>
    <row r="1" spans="1:3" x14ac:dyDescent="0.3">
      <c r="A1" t="s">
        <v>55</v>
      </c>
      <c r="B1" s="4">
        <f>Costs_AISC!D20/Costs_AISC!C20</f>
        <v>475.19236111111115</v>
      </c>
      <c r="C1" s="4"/>
    </row>
    <row r="2" spans="1:3" x14ac:dyDescent="0.3">
      <c r="A2" t="s">
        <v>56</v>
      </c>
      <c r="B2" s="4">
        <f>Costs_AISC!E20/Costs_AISC!C20</f>
        <v>237.59618055555558</v>
      </c>
      <c r="C2" s="4"/>
    </row>
    <row r="3" spans="1:3" x14ac:dyDescent="0.3">
      <c r="A3" t="s">
        <v>12</v>
      </c>
      <c r="B3" s="4">
        <f>Costs_AISC!F20/Costs_AISC!C20</f>
        <v>107.9982638888889</v>
      </c>
      <c r="C3" s="4"/>
    </row>
    <row r="4" spans="1:3" x14ac:dyDescent="0.3">
      <c r="A4" t="s">
        <v>13</v>
      </c>
      <c r="B4" s="4">
        <f>Costs_AISC!G20/Costs_AISC!C20</f>
        <v>249.16686693903713</v>
      </c>
      <c r="C4" s="4"/>
    </row>
    <row r="5" spans="1:3" x14ac:dyDescent="0.3">
      <c r="A5" t="s">
        <v>57</v>
      </c>
      <c r="B5" s="4">
        <f>Costs_AISC!I20/Costs_AISC!C20</f>
        <v>90</v>
      </c>
      <c r="C5" s="4"/>
    </row>
    <row r="6" spans="1:3" x14ac:dyDescent="0.3">
      <c r="A6" t="s">
        <v>58</v>
      </c>
      <c r="B6" s="4">
        <f>Costs_AISC!B15</f>
        <v>1159.9536724945929</v>
      </c>
      <c r="C6" s="4"/>
    </row>
    <row r="19" spans="1:3" x14ac:dyDescent="0.3">
      <c r="A19" t="s">
        <v>59</v>
      </c>
      <c r="B19" t="s">
        <v>53</v>
      </c>
    </row>
    <row r="20" spans="1:3" x14ac:dyDescent="0.3">
      <c r="A20" s="4">
        <v>3500</v>
      </c>
      <c r="B20" s="4">
        <v>5801954502.7411842</v>
      </c>
      <c r="C20" s="4"/>
    </row>
    <row r="21" spans="1:3" x14ac:dyDescent="0.3">
      <c r="A21" s="4">
        <v>4000</v>
      </c>
      <c r="B21" s="4">
        <v>7016770954.6336527</v>
      </c>
      <c r="C21" s="4"/>
    </row>
    <row r="22" spans="1:3" x14ac:dyDescent="0.3">
      <c r="A22" s="4">
        <v>4500</v>
      </c>
      <c r="B22" s="4">
        <v>8231587406.5261259</v>
      </c>
      <c r="C22" s="4"/>
    </row>
    <row r="23" spans="1:3" x14ac:dyDescent="0.3">
      <c r="A23" s="4">
        <v>5000</v>
      </c>
      <c r="B23" s="4">
        <v>9446403858.4185963</v>
      </c>
      <c r="C23" s="4"/>
    </row>
    <row r="24" spans="1:3" x14ac:dyDescent="0.3">
      <c r="A24" s="4">
        <v>5500</v>
      </c>
      <c r="B24" s="4">
        <v>10661220310.311069</v>
      </c>
      <c r="C24" s="4"/>
    </row>
    <row r="56" spans="1:5" x14ac:dyDescent="0.3">
      <c r="A56" t="s">
        <v>49</v>
      </c>
      <c r="B56" t="s">
        <v>60</v>
      </c>
      <c r="C56" t="s">
        <v>66</v>
      </c>
      <c r="D56" t="s">
        <v>61</v>
      </c>
      <c r="E56" t="s">
        <v>62</v>
      </c>
    </row>
    <row r="57" spans="1:5" x14ac:dyDescent="0.3">
      <c r="A57" t="s">
        <v>8</v>
      </c>
      <c r="B57" s="4">
        <v>5801954502.7411842</v>
      </c>
      <c r="C57" s="4">
        <v>8231587406.5261259</v>
      </c>
      <c r="D57" s="4">
        <v>10661220310.311069</v>
      </c>
      <c r="E57" s="5">
        <f>D57-B57</f>
        <v>4859265807.5698853</v>
      </c>
    </row>
    <row r="58" spans="1:5" x14ac:dyDescent="0.3">
      <c r="A58" t="s">
        <v>5</v>
      </c>
      <c r="B58" s="4">
        <v>6044917793.1196775</v>
      </c>
      <c r="C58" s="4">
        <v>8231587406.5261259</v>
      </c>
      <c r="D58" s="4">
        <v>10418257019.932575</v>
      </c>
      <c r="E58" s="5">
        <f>D58-B58</f>
        <v>4373339226.8128977</v>
      </c>
    </row>
    <row r="59" spans="1:5" x14ac:dyDescent="0.3">
      <c r="A59" t="s">
        <v>13</v>
      </c>
      <c r="B59" s="4">
        <f>Costs_AISC!G2*0.8</f>
        <v>64000000</v>
      </c>
      <c r="C59" s="4">
        <f>Costs_AISC!G2</f>
        <v>80000000</v>
      </c>
      <c r="D59" s="4">
        <f>Costs_AISC!G2*1.2</f>
        <v>96000000</v>
      </c>
      <c r="E59" s="5">
        <f>D59-B59</f>
        <v>32000000</v>
      </c>
    </row>
    <row r="60" spans="1:5" x14ac:dyDescent="0.3">
      <c r="A60" t="s">
        <v>10</v>
      </c>
      <c r="B60" s="4">
        <f>Costs_AISC!D2*0.9</f>
        <v>137313000</v>
      </c>
      <c r="C60" s="4">
        <f>Costs_AISC!D2</f>
        <v>152570000</v>
      </c>
      <c r="D60" s="4">
        <f>Costs_AISC!D2*1.1</f>
        <v>167827000</v>
      </c>
      <c r="E60" s="5">
        <f>D60-B60</f>
        <v>30514000</v>
      </c>
    </row>
    <row r="61" spans="1:5" x14ac:dyDescent="0.3">
      <c r="A61" t="s">
        <v>63</v>
      </c>
      <c r="B61" s="4">
        <f>Costs_AISC!E2*0.9</f>
        <v>68656500</v>
      </c>
      <c r="C61" s="4">
        <f>Costs_AISC!E2</f>
        <v>76285000</v>
      </c>
      <c r="D61" s="4">
        <f>Costs_AISC!E2*1.1</f>
        <v>83913500</v>
      </c>
      <c r="E61" s="5">
        <f>D61-B61</f>
        <v>15257000</v>
      </c>
    </row>
    <row r="63" spans="1:5" x14ac:dyDescent="0.3">
      <c r="A63" t="s">
        <v>49</v>
      </c>
      <c r="B63" t="s">
        <v>64</v>
      </c>
      <c r="C63" t="s">
        <v>65</v>
      </c>
    </row>
    <row r="64" spans="1:5" x14ac:dyDescent="0.3">
      <c r="A64" t="s">
        <v>8</v>
      </c>
      <c r="B64" s="5">
        <f>B57-C57</f>
        <v>-2429632903.7849417</v>
      </c>
      <c r="C64" s="5">
        <f>D57-C57</f>
        <v>2429632903.7849436</v>
      </c>
    </row>
    <row r="65" spans="1:3" x14ac:dyDescent="0.3">
      <c r="A65" t="s">
        <v>5</v>
      </c>
      <c r="B65" s="5">
        <f>B58-C58</f>
        <v>-2186669613.4064484</v>
      </c>
      <c r="C65" s="5">
        <f>D58-C58</f>
        <v>2186669613.4064493</v>
      </c>
    </row>
    <row r="66" spans="1:3" x14ac:dyDescent="0.3">
      <c r="A66" t="s">
        <v>13</v>
      </c>
      <c r="B66" s="5">
        <f>B59-C59</f>
        <v>-16000000</v>
      </c>
      <c r="C66" s="5">
        <f>D59-C59</f>
        <v>16000000</v>
      </c>
    </row>
    <row r="67" spans="1:3" x14ac:dyDescent="0.3">
      <c r="A67" t="s">
        <v>10</v>
      </c>
      <c r="B67" s="5">
        <f>B60-C60</f>
        <v>-15257000</v>
      </c>
      <c r="C67" s="5">
        <f>D60-C60</f>
        <v>15257000</v>
      </c>
    </row>
    <row r="68" spans="1:3" x14ac:dyDescent="0.3">
      <c r="A68" t="s">
        <v>63</v>
      </c>
      <c r="B68" s="5">
        <f>B61-C61</f>
        <v>-7628500</v>
      </c>
      <c r="C68" s="5">
        <f>D61-C61</f>
        <v>7628500</v>
      </c>
    </row>
  </sheetData>
  <sortState xmlns:xlrd2="http://schemas.microsoft.com/office/spreadsheetml/2017/richdata2" ref="A57:E61">
    <sortCondition descending="1" ref="E57:E6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Production</vt:lpstr>
      <vt:lpstr>Costs_AISC</vt:lpstr>
      <vt:lpstr>CashFlow_NPV</vt:lpstr>
      <vt:lpstr>Sensitivites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Metteer</dc:creator>
  <cp:lastModifiedBy>Samuel Metteer</cp:lastModifiedBy>
  <dcterms:created xsi:type="dcterms:W3CDTF">2026-04-01T19:45:07Z</dcterms:created>
  <dcterms:modified xsi:type="dcterms:W3CDTF">2026-04-02T21:49:39Z</dcterms:modified>
</cp:coreProperties>
</file>